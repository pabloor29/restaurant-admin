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pabloortega/Library/Mobile Documents/com~apple~CloudDocs/PABLO_ORTEGA_PRO/Devis/00_TEMPLATE/"/>
    </mc:Choice>
  </mc:AlternateContent>
  <xr:revisionPtr revIDLastSave="0" documentId="13_ncr:1_{AC0D576B-2A59-F44B-9F2B-01EBCBAE6384}" xr6:coauthVersionLast="47" xr6:coauthVersionMax="47" xr10:uidLastSave="{00000000-0000-0000-0000-000000000000}"/>
  <bookViews>
    <workbookView xWindow="0" yWindow="660" windowWidth="29040" windowHeight="15720" tabRatio="500" xr2:uid="{00000000-000D-0000-FFFF-FFFF00000000}"/>
  </bookViews>
  <sheets>
    <sheet name="Devis" sheetId="1" r:id="rId1"/>
  </sheets>
  <definedNames>
    <definedName name="_xlnm.Print_Titles" localSheetId="0">Devis!$13:$13</definedName>
    <definedName name="TitreColonne1">Devis[[#Headers],[QUANTITÉ]]</definedName>
    <definedName name="ZoneTitreColonne1..B11.1">Devis!$B$6</definedName>
    <definedName name="ZoneTitreColonne2..G14.1">Devis!#REF!</definedName>
    <definedName name="ZoneTitreLigne1..G4">Devis!$F$2</definedName>
    <definedName name="ZoneTitreLigne2..G7">Devis!$F$6</definedName>
    <definedName name="ZoneTitreLigne3..D12">Devis!$B$12</definedName>
    <definedName name="ZoneTitreLigne4..G26">Devis!#REF!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4" i="1" l="1"/>
  <c r="G6" i="1"/>
  <c r="G27" i="1"/>
  <c r="G26" i="1"/>
  <c r="G25" i="1"/>
  <c r="G23" i="1"/>
  <c r="G22" i="1"/>
  <c r="G17" i="1"/>
  <c r="F17" i="1"/>
  <c r="G16" i="1"/>
  <c r="F16" i="1"/>
  <c r="G15" i="1"/>
  <c r="F15" i="1"/>
  <c r="G14" i="1"/>
  <c r="F14" i="1"/>
  <c r="G2" i="1"/>
  <c r="G28" i="1" l="1"/>
  <c r="G29" i="1"/>
</calcChain>
</file>

<file path=xl/sharedStrings.xml><?xml version="1.0" encoding="utf-8"?>
<sst xmlns="http://schemas.openxmlformats.org/spreadsheetml/2006/main" count="56" uniqueCount="52">
  <si>
    <t>PABLO ORTEGA</t>
  </si>
  <si>
    <t>Devis</t>
  </si>
  <si>
    <t>Création de site web pour professionnels et particuliers.</t>
  </si>
  <si>
    <t>DATE</t>
  </si>
  <si>
    <t>62 rue Trivalle</t>
  </si>
  <si>
    <t>N° de citation</t>
  </si>
  <si>
    <t>11000, CARCASSONNE</t>
  </si>
  <si>
    <t>Réf. client</t>
  </si>
  <si>
    <t>Téléphone : +33 6 29 10 31 28</t>
  </si>
  <si>
    <t>Devis pour :</t>
  </si>
  <si>
    <t>Date de fin de validité de la citation :</t>
  </si>
  <si>
    <t>Auteur de la proposition :</t>
  </si>
  <si>
    <t>Pablo ORTEGA</t>
  </si>
  <si>
    <t>Nous vous remercions pour votre intérêt. Vous trouverez ci-dessous notre proposition détaillée pour la réalisation de votre projet. Ce devis est valable pour une durée de 30 jours à compter de la date d’émission.</t>
  </si>
  <si>
    <t>QUANTITÉ</t>
  </si>
  <si>
    <t>DESCRIPTION</t>
  </si>
  <si>
    <t xml:space="preserve"> </t>
  </si>
  <si>
    <t>PRIX UNITAIRE</t>
  </si>
  <si>
    <t>TTC</t>
  </si>
  <si>
    <t>MONTANT</t>
  </si>
  <si>
    <t>— ABONNEMENT MENSUEL —</t>
  </si>
  <si>
    <t>Base</t>
  </si>
  <si>
    <t>Inclus</t>
  </si>
  <si>
    <t>Options (indiquer OUI ou NON dans la colonne "Inclus ?")</t>
  </si>
  <si>
    <t>Option</t>
  </si>
  <si>
    <t>Prix/mois</t>
  </si>
  <si>
    <t>Inclus ?</t>
  </si>
  <si>
    <t>Montant</t>
  </si>
  <si>
    <t>Référencement SEO (optimisation &amp; suivi mensuel)</t>
  </si>
  <si>
    <t>OUI</t>
  </si>
  <si>
    <t>Mise à jour du contenu (textes, photos)</t>
  </si>
  <si>
    <t>NON</t>
  </si>
  <si>
    <t>TOTAL SITE (unique)</t>
  </si>
  <si>
    <t>TOTAL ABONNEMENT MENSUEL</t>
  </si>
  <si>
    <t>🎁  1ère mensualité offerte — Le premier paiement de l'abonnement débutera 1 mois après la livraison du site.</t>
  </si>
  <si>
    <t>En cas de questions sur ce devis, contactez Pablo ORTEGA – pab.ortg@gmail.com – +33 6 29 10 31 28</t>
  </si>
  <si>
    <t>El Bodegon</t>
  </si>
  <si>
    <t>6 Rue de la Fonderie</t>
  </si>
  <si>
    <t>31000 Toulouse</t>
  </si>
  <si>
    <t>06 63 95 74 19</t>
  </si>
  <si>
    <t>Abonnement de base 
- hébergement
- maintenance
- 100 réservations/mois</t>
  </si>
  <si>
    <t>500 réservations/mois</t>
  </si>
  <si>
    <t>Réservation illimitées</t>
  </si>
  <si>
    <t>Site administrateur</t>
  </si>
  <si>
    <t>CUS005</t>
  </si>
  <si>
    <t>Site vitrine - 6 pages</t>
  </si>
  <si>
    <t>Système de réservation</t>
  </si>
  <si>
    <t>Création du profil administrateur</t>
  </si>
  <si>
    <t>200 réservations/mois</t>
  </si>
  <si>
    <t>NOUS VOUS REMERCIONS DE VOTRE CONFIANCE.</t>
  </si>
  <si>
    <t>TVA non applicable, article 293 B du CGI.</t>
  </si>
  <si>
    <t>Objet : Ce devis définit les prestations proposées par PABLO ORTEGA.
Validité du devis : Ce devis est valable 30 jours à compter de son émission.
Délai de réalisation : La prestation débutera après validation du devis et versement d’un acompte de 25 %.
Modalités de paiement : Le paiement peut être effectué par virement bancaire ou en espèces. Un acompte de 25 % du coût total est demandé à la signature du devis, le solde étant à régler à la livraison. Il est également possible d’opter pour un paiement en trois fois sans frais avec le premier versement à la signature.
Propriété intellectuelle : Les livrables restent la propriété de PABLO ORTEGA jusqu’au paiement total.
Annulation : En cas d’annulation du projet après signature, l’acompte versé restera acquis et ne sera pas remboursé.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</si>
</sst>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 ##\ ##\ ##"/>
    <numFmt numFmtId="165" formatCode="_-* #,##0.00&quot; €&quot;_-;\-* #,##0.00&quot; €&quot;_-;_-* \-??&quot; €&quot;_-;_-@_-"/>
    <numFmt numFmtId="166" formatCode="#,##0.00&quot; €&quot;"/>
  </numFmts>
  <fonts count="15" x14ac:knownFonts="1">
    <font>
      <sz val="11"/>
      <name val="Arial"/>
      <family val="2"/>
      <charset val="1"/>
    </font>
    <font>
      <b/>
      <sz val="11"/>
      <name val="Arial"/>
      <family val="2"/>
      <charset val="1"/>
    </font>
    <font>
      <i/>
      <sz val="11"/>
      <name val="Arial"/>
      <family val="2"/>
      <charset val="1"/>
    </font>
    <font>
      <b/>
      <sz val="18"/>
      <color theme="1" tint="0.24988555558946501"/>
      <name val="Arial"/>
      <family val="2"/>
      <charset val="1"/>
    </font>
    <font>
      <sz val="28"/>
      <color theme="1" tint="0.49989318521683401"/>
      <name val="Arial"/>
      <family val="2"/>
      <charset val="1"/>
    </font>
    <font>
      <b/>
      <sz val="11"/>
      <color rgb="FFFFFFFF"/>
      <name val="Cambria"/>
      <family val="1"/>
    </font>
    <font>
      <b/>
      <sz val="11"/>
      <name val="Cambria"/>
      <family val="1"/>
    </font>
    <font>
      <sz val="11"/>
      <name val="Cambria"/>
      <family val="1"/>
    </font>
    <font>
      <b/>
      <sz val="11"/>
      <color rgb="FF1F4E79"/>
      <name val="Cambria"/>
      <family val="1"/>
    </font>
    <font>
      <i/>
      <sz val="10"/>
      <color rgb="FF595959"/>
      <name val="Cambria"/>
      <family val="1"/>
    </font>
    <font>
      <b/>
      <sz val="10"/>
      <name val="Cambria"/>
      <family val="1"/>
    </font>
    <font>
      <sz val="10"/>
      <name val="Cambria"/>
      <family val="1"/>
    </font>
    <font>
      <b/>
      <sz val="10"/>
      <color rgb="FF595959"/>
      <name val="Cambria"/>
      <family val="1"/>
    </font>
    <font>
      <i/>
      <sz val="10"/>
      <color rgb="FF1F4E79"/>
      <name val="Cambria"/>
      <family val="1"/>
    </font>
    <font>
      <sz val="11"/>
      <name val="Arial"/>
      <family val="2"/>
      <charset val="1"/>
    </font>
  </fonts>
  <fills count="7">
    <fill>
      <patternFill patternType="none"/>
    </fill>
    <fill>
      <patternFill patternType="gray125"/>
    </fill>
    <fill>
      <patternFill patternType="solid">
        <fgColor theme="0" tint="-4.9989318521683403E-2"/>
        <bgColor rgb="FFEBF3FB"/>
      </patternFill>
    </fill>
    <fill>
      <patternFill patternType="solid">
        <fgColor rgb="FF1F4E79"/>
        <bgColor rgb="FF003366"/>
      </patternFill>
    </fill>
    <fill>
      <patternFill patternType="solid">
        <fgColor rgb="FFDDEEFF"/>
        <bgColor rgb="FFEBF3FB"/>
      </patternFill>
    </fill>
    <fill>
      <patternFill patternType="solid">
        <fgColor rgb="FFD9D9D9"/>
        <bgColor rgb="FFDDEEFF"/>
      </patternFill>
    </fill>
    <fill>
      <patternFill patternType="solid">
        <fgColor rgb="FFEBF3FB"/>
        <bgColor rgb="FFF2F2F2"/>
      </patternFill>
    </fill>
  </fills>
  <borders count="4">
    <border>
      <left/>
      <right/>
      <top/>
      <bottom/>
      <diagonal/>
    </border>
    <border>
      <left style="thin">
        <color theme="0"/>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s>
  <cellStyleXfs count="9">
    <xf numFmtId="0" fontId="0" fillId="0" borderId="0">
      <alignment horizontal="left" vertical="center" wrapText="1"/>
    </xf>
    <xf numFmtId="0" fontId="14" fillId="0" borderId="1">
      <alignment horizontal="left" vertical="center" wrapText="1"/>
    </xf>
    <xf numFmtId="14" fontId="14" fillId="0" borderId="0">
      <alignment horizontal="left"/>
    </xf>
    <xf numFmtId="14" fontId="14" fillId="0" borderId="0">
      <alignment horizontal="center" vertical="center"/>
    </xf>
    <xf numFmtId="0" fontId="14" fillId="2" borderId="2">
      <alignment horizontal="center" vertical="center"/>
    </xf>
    <xf numFmtId="0" fontId="14" fillId="0" borderId="0">
      <alignment horizontal="left" wrapText="1"/>
    </xf>
    <xf numFmtId="49" fontId="14" fillId="0" borderId="0">
      <alignment horizontal="center" vertical="center" wrapText="1"/>
    </xf>
    <xf numFmtId="164" fontId="14" fillId="0" borderId="0">
      <alignment horizontal="left" vertical="top"/>
    </xf>
    <xf numFmtId="0" fontId="1" fillId="0" borderId="0">
      <alignment horizontal="right"/>
    </xf>
  </cellStyleXfs>
  <cellXfs count="44">
    <xf numFmtId="0" fontId="0" fillId="0" borderId="0" xfId="0">
      <alignment horizontal="left" vertical="center" wrapText="1"/>
    </xf>
    <xf numFmtId="0" fontId="0" fillId="0" borderId="0" xfId="0" applyAlignment="1">
      <alignment horizontal="left" wrapText="1"/>
    </xf>
    <xf numFmtId="0" fontId="2" fillId="0" borderId="0" xfId="0" applyFont="1" applyAlignment="1">
      <alignment horizontal="left" vertical="top" wrapText="1"/>
    </xf>
    <xf numFmtId="0" fontId="0" fillId="0" borderId="0" xfId="0" applyAlignment="1"/>
    <xf numFmtId="0" fontId="1" fillId="0" borderId="0" xfId="0" applyFont="1" applyAlignment="1">
      <alignment horizontal="right"/>
    </xf>
    <xf numFmtId="14" fontId="0" fillId="0" borderId="0" xfId="0" applyNumberFormat="1" applyAlignment="1">
      <alignment horizontal="left"/>
    </xf>
    <xf numFmtId="0" fontId="1" fillId="0" borderId="0" xfId="0" applyFont="1" applyAlignment="1">
      <alignment horizontal="right" vertical="center"/>
    </xf>
    <xf numFmtId="0" fontId="2" fillId="0" borderId="0" xfId="0" applyFont="1" applyAlignment="1">
      <alignment horizontal="right"/>
    </xf>
    <xf numFmtId="0" fontId="0" fillId="0" borderId="0" xfId="0" applyAlignment="1">
      <alignment horizontal="center" vertical="center"/>
    </xf>
    <xf numFmtId="0" fontId="0" fillId="0" borderId="1" xfId="0" applyBorder="1" applyAlignment="1">
      <alignment horizontal="center" vertical="center"/>
    </xf>
    <xf numFmtId="3" fontId="0" fillId="0" borderId="0" xfId="0" applyNumberFormat="1" applyAlignment="1">
      <alignment horizontal="center" vertical="center"/>
    </xf>
    <xf numFmtId="0" fontId="0" fillId="0" borderId="1" xfId="0" applyBorder="1">
      <alignment horizontal="left" vertical="center" wrapText="1"/>
    </xf>
    <xf numFmtId="165" fontId="0" fillId="0" borderId="0" xfId="0" applyNumberFormat="1" applyAlignment="1">
      <alignment horizontal="right" vertical="center"/>
    </xf>
    <xf numFmtId="165" fontId="0" fillId="0" borderId="0" xfId="0" applyNumberFormat="1" applyAlignment="1">
      <alignment horizontal="center" vertical="center" wrapText="1"/>
    </xf>
    <xf numFmtId="0" fontId="6" fillId="4" borderId="0" xfId="0" applyFont="1" applyFill="1" applyAlignment="1">
      <alignment horizontal="center" vertical="center"/>
    </xf>
    <xf numFmtId="0" fontId="7" fillId="4" borderId="0" xfId="0" applyFont="1" applyFill="1" applyAlignment="1">
      <alignment horizontal="left" vertical="center"/>
    </xf>
    <xf numFmtId="166" fontId="0" fillId="4" borderId="0" xfId="0" applyNumberFormat="1" applyFill="1" applyAlignment="1">
      <alignment horizontal="right" vertical="center"/>
    </xf>
    <xf numFmtId="0" fontId="8" fillId="4" borderId="0" xfId="0" applyFont="1" applyFill="1" applyAlignment="1">
      <alignment horizontal="center" vertical="center"/>
    </xf>
    <xf numFmtId="166" fontId="6" fillId="4" borderId="0" xfId="0" applyNumberFormat="1" applyFont="1" applyFill="1" applyAlignment="1">
      <alignment horizontal="right" vertical="center"/>
    </xf>
    <xf numFmtId="0" fontId="10" fillId="5" borderId="0" xfId="0" applyFont="1" applyFill="1" applyAlignment="1">
      <alignment horizontal="left" vertical="center"/>
    </xf>
    <xf numFmtId="0" fontId="10" fillId="5" borderId="0" xfId="0" applyFont="1" applyFill="1" applyAlignment="1">
      <alignment horizontal="right" vertical="center"/>
    </xf>
    <xf numFmtId="0" fontId="10" fillId="5" borderId="0" xfId="0" applyFont="1" applyFill="1" applyAlignment="1">
      <alignment horizontal="center" vertical="center"/>
    </xf>
    <xf numFmtId="0" fontId="11" fillId="0" borderId="0" xfId="0" applyFont="1" applyAlignment="1">
      <alignment horizontal="left" vertical="center"/>
    </xf>
    <xf numFmtId="166" fontId="11" fillId="0" borderId="0" xfId="0" applyNumberFormat="1" applyFont="1" applyAlignment="1">
      <alignment horizontal="right" vertical="center"/>
    </xf>
    <xf numFmtId="0" fontId="12" fillId="0" borderId="0" xfId="0" applyFont="1" applyAlignment="1">
      <alignment horizontal="center" vertical="center"/>
    </xf>
    <xf numFmtId="0" fontId="6" fillId="0" borderId="0" xfId="0" applyFont="1" applyAlignment="1">
      <alignment horizontal="right" vertical="center"/>
    </xf>
    <xf numFmtId="166" fontId="6" fillId="0" borderId="0" xfId="0" applyNumberFormat="1" applyFont="1" applyAlignment="1">
      <alignment horizontal="right" vertical="center"/>
    </xf>
    <xf numFmtId="0" fontId="8" fillId="0" borderId="0" xfId="0" applyFont="1" applyAlignment="1">
      <alignment horizontal="right" vertical="center"/>
    </xf>
    <xf numFmtId="166" fontId="8" fillId="0" borderId="0" xfId="0" applyNumberFormat="1" applyFont="1" applyAlignment="1">
      <alignment horizontal="right" vertical="center"/>
    </xf>
    <xf numFmtId="0" fontId="0" fillId="0" borderId="0" xfId="0" applyAlignment="1">
      <alignment horizontal="left" vertical="center"/>
    </xf>
    <xf numFmtId="0" fontId="7" fillId="4" borderId="0" xfId="0" applyFont="1" applyFill="1">
      <alignment horizontal="left" vertical="center" wrapText="1"/>
    </xf>
    <xf numFmtId="0" fontId="13" fillId="6" borderId="0" xfId="0" applyFont="1" applyFill="1" applyAlignment="1">
      <alignment horizontal="center" vertical="center" wrapText="1"/>
    </xf>
    <xf numFmtId="49" fontId="0" fillId="0" borderId="0" xfId="0" applyNumberFormat="1" applyAlignment="1">
      <alignment horizontal="left" vertical="top" wrapText="1"/>
    </xf>
    <xf numFmtId="0" fontId="3" fillId="0" borderId="0" xfId="0" applyFont="1" applyAlignment="1"/>
    <xf numFmtId="0" fontId="4" fillId="0" borderId="0" xfId="0" applyFont="1" applyAlignment="1">
      <alignment horizontal="right"/>
    </xf>
    <xf numFmtId="0" fontId="2" fillId="0" borderId="0" xfId="0" applyFont="1" applyAlignment="1">
      <alignment horizontal="left" vertical="top" wrapText="1"/>
    </xf>
    <xf numFmtId="0" fontId="0" fillId="0" borderId="0" xfId="0">
      <alignment horizontal="left" vertical="center" wrapText="1"/>
    </xf>
    <xf numFmtId="164" fontId="0" fillId="0" borderId="0" xfId="0" applyNumberFormat="1" applyAlignment="1">
      <alignment horizontal="left" vertical="top"/>
    </xf>
    <xf numFmtId="0" fontId="1" fillId="0" borderId="0" xfId="0" applyFont="1" applyAlignment="1">
      <alignment vertical="top"/>
    </xf>
    <xf numFmtId="0" fontId="0" fillId="0" borderId="0" xfId="0" applyAlignment="1">
      <alignment horizontal="left" wrapText="1"/>
    </xf>
    <xf numFmtId="0" fontId="13" fillId="6" borderId="0" xfId="0" applyFont="1" applyFill="1">
      <alignment horizontal="left" vertical="center" wrapText="1"/>
    </xf>
    <xf numFmtId="0" fontId="1" fillId="0" borderId="3" xfId="0" applyFont="1" applyBorder="1" applyAlignment="1">
      <alignment horizontal="left" vertical="top" wrapText="1"/>
    </xf>
    <xf numFmtId="0" fontId="5" fillId="3" borderId="0" xfId="0" applyFont="1" applyFill="1" applyAlignment="1">
      <alignment horizontal="center" vertical="center"/>
    </xf>
    <xf numFmtId="0" fontId="9" fillId="2" borderId="0" xfId="0" applyFont="1" applyFill="1" applyAlignment="1">
      <alignment horizontal="left" vertical="center"/>
    </xf>
  </cellXfs>
  <cellStyles count="9">
    <cellStyle name="Champ personnalisé" xfId="1" xr:uid="{00000000-0005-0000-0000-000006000000}"/>
    <cellStyle name="Date" xfId="2" xr:uid="{00000000-0005-0000-0000-000007000000}"/>
    <cellStyle name="Date d’expédition" xfId="3" xr:uid="{00000000-0005-0000-0000-000008000000}"/>
    <cellStyle name="Détails de l’expédition" xfId="4" xr:uid="{00000000-0005-0000-0000-000009000000}"/>
    <cellStyle name="Étiquette de date" xfId="8" xr:uid="{00000000-0005-0000-0000-00000D000000}"/>
    <cellStyle name="Nom" xfId="5" xr:uid="{00000000-0005-0000-0000-00000A000000}"/>
    <cellStyle name="Normal" xfId="0" builtinId="0"/>
    <cellStyle name="Soumis à la TVA ?" xfId="6" xr:uid="{00000000-0005-0000-0000-00000B000000}"/>
    <cellStyle name="Téléphone" xfId="7" xr:uid="{00000000-0005-0000-0000-00000C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F7840"/>
      <rgbColor rgb="FF000080"/>
      <rgbColor rgb="FF808000"/>
      <rgbColor rgb="FF800080"/>
      <rgbColor rgb="FF008080"/>
      <rgbColor rgb="FFC0C0C0"/>
      <rgbColor rgb="FF7F7F7F"/>
      <rgbColor rgb="FF9999FF"/>
      <rgbColor rgb="FF993366"/>
      <rgbColor rgb="FFF2F2F2"/>
      <rgbColor rgb="FFDDEE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BF3FB"/>
      <rgbColor rgb="FFCCFFCC"/>
      <rgbColor rgb="FFFFFF99"/>
      <rgbColor rgb="FF99CCFF"/>
      <rgbColor rgb="FFFF99CC"/>
      <rgbColor rgb="FFCC99FF"/>
      <rgbColor rgb="FFFFCC99"/>
      <rgbColor rgb="FF3366FF"/>
      <rgbColor rgb="FF33CCCC"/>
      <rgbColor rgb="FF9BBB59"/>
      <rgbColor rgb="FFFFCC00"/>
      <rgbColor rgb="FFFF9900"/>
      <rgbColor rgb="FFFF6600"/>
      <rgbColor rgb="FF595959"/>
      <rgbColor rgb="FFA6A6A6"/>
      <rgbColor rgb="FF003366"/>
      <rgbColor rgb="FF339966"/>
      <rgbColor rgb="FF003300"/>
      <rgbColor rgb="FF333300"/>
      <rgbColor rgb="FF993300"/>
      <rgbColor rgb="FF993366"/>
      <rgbColor rgb="FF1F4E7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vis" displayName="Devis" ref="B13:G17" totalsRowShown="0">
  <autoFilter ref="B13:G17" xr:uid="{00000000-0009-0000-0100-000001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QUANTITÉ"/>
    <tableColumn id="2" xr3:uid="{00000000-0010-0000-0000-000002000000}" name="DESCRIPTION"/>
    <tableColumn id="3" xr3:uid="{00000000-0010-0000-0000-000003000000}" name=" "/>
    <tableColumn id="4" xr3:uid="{00000000-0010-0000-0000-000004000000}" name="PRIX UNITAIRE"/>
    <tableColumn id="5" xr3:uid="{00000000-0010-0000-0000-000005000000}" name="TTC"/>
    <tableColumn id="6" xr3:uid="{00000000-0010-0000-0000-000006000000}" name="MONTAN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Classic 2">
      <a:majorFont>
        <a:latin typeface="Arial"/>
        <a:ea typeface=""/>
        <a:cs typeface=""/>
      </a:majorFont>
      <a:minorFont>
        <a:latin typeface="Arial"/>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BBB59"/>
    <pageSetUpPr fitToPage="1"/>
  </sheetPr>
  <dimension ref="A1:H42"/>
  <sheetViews>
    <sheetView showGridLines="0" tabSelected="1" topLeftCell="A16" zoomScaleNormal="100" workbookViewId="0">
      <selection activeCell="J21" sqref="J21"/>
    </sheetView>
  </sheetViews>
  <sheetFormatPr baseColWidth="10" defaultColWidth="9" defaultRowHeight="14" x14ac:dyDescent="0.15"/>
  <cols>
    <col min="1" max="1" width="2.6640625" style="3" customWidth="1"/>
    <col min="2" max="2" width="16.6640625" style="3" customWidth="1"/>
    <col min="3" max="3" width="26.33203125" style="3" customWidth="1"/>
    <col min="4" max="4" width="21.1640625" style="3" customWidth="1"/>
    <col min="5" max="5" width="16.33203125" style="3" customWidth="1"/>
    <col min="6" max="6" width="33.1640625" style="3" customWidth="1"/>
    <col min="7" max="7" width="19.1640625" style="3" customWidth="1"/>
    <col min="8" max="8" width="2.6640625" style="3" customWidth="1"/>
  </cols>
  <sheetData>
    <row r="1" spans="1:7" ht="36" customHeight="1" x14ac:dyDescent="0.35">
      <c r="A1" s="2"/>
      <c r="B1" s="33" t="s">
        <v>0</v>
      </c>
      <c r="C1" s="33"/>
      <c r="D1" s="33"/>
      <c r="E1" s="33"/>
      <c r="F1" s="34" t="s">
        <v>1</v>
      </c>
      <c r="G1" s="34"/>
    </row>
    <row r="2" spans="1:7" ht="30.75" customHeight="1" x14ac:dyDescent="0.15">
      <c r="B2" s="35" t="s">
        <v>2</v>
      </c>
      <c r="C2" s="35"/>
      <c r="D2" s="35"/>
      <c r="E2" s="35"/>
      <c r="F2" s="4" t="s">
        <v>3</v>
      </c>
      <c r="G2" s="5">
        <f ca="1">TODAY()</f>
        <v>46172</v>
      </c>
    </row>
    <row r="3" spans="1:7" ht="15" customHeight="1" x14ac:dyDescent="0.15">
      <c r="B3" s="36" t="s">
        <v>4</v>
      </c>
      <c r="C3" s="36"/>
      <c r="D3" s="36"/>
      <c r="E3" s="36"/>
      <c r="F3" s="6" t="s">
        <v>5</v>
      </c>
      <c r="G3">
        <v>100</v>
      </c>
    </row>
    <row r="4" spans="1:7" ht="15" customHeight="1" x14ac:dyDescent="0.15">
      <c r="B4" s="36" t="s">
        <v>6</v>
      </c>
      <c r="C4" s="36"/>
      <c r="D4" s="36"/>
      <c r="E4" s="36"/>
      <c r="F4" s="6" t="s">
        <v>7</v>
      </c>
      <c r="G4" t="s">
        <v>44</v>
      </c>
    </row>
    <row r="5" spans="1:7" ht="30" customHeight="1" x14ac:dyDescent="0.15">
      <c r="B5" s="37" t="s">
        <v>8</v>
      </c>
      <c r="C5" s="37"/>
      <c r="D5" s="37"/>
      <c r="E5" s="37"/>
    </row>
    <row r="6" spans="1:7" ht="15" customHeight="1" x14ac:dyDescent="0.15">
      <c r="B6" s="38" t="s">
        <v>9</v>
      </c>
      <c r="C6" s="38"/>
      <c r="D6" s="38"/>
      <c r="E6" s="38"/>
      <c r="F6" s="7" t="s">
        <v>10</v>
      </c>
      <c r="G6" s="5">
        <f ca="1">TODAY() + 30</f>
        <v>46202</v>
      </c>
    </row>
    <row r="7" spans="1:7" ht="30" customHeight="1" x14ac:dyDescent="0.15">
      <c r="B7" s="39"/>
      <c r="C7" s="39"/>
      <c r="D7" s="39"/>
      <c r="E7" s="39"/>
      <c r="F7" s="7" t="s">
        <v>11</v>
      </c>
      <c r="G7" s="1" t="s">
        <v>12</v>
      </c>
    </row>
    <row r="8" spans="1:7" ht="15" customHeight="1" x14ac:dyDescent="0.15">
      <c r="B8" s="36" t="s">
        <v>36</v>
      </c>
      <c r="C8" s="36"/>
      <c r="D8" s="36"/>
      <c r="E8" s="36"/>
      <c r="F8" s="7"/>
    </row>
    <row r="9" spans="1:7" ht="15" customHeight="1" x14ac:dyDescent="0.15">
      <c r="B9" s="36" t="s">
        <v>37</v>
      </c>
      <c r="C9" s="36"/>
      <c r="D9" s="36"/>
      <c r="E9" s="36"/>
    </row>
    <row r="10" spans="1:7" ht="15" customHeight="1" x14ac:dyDescent="0.15">
      <c r="B10" s="36" t="s">
        <v>38</v>
      </c>
      <c r="C10" s="36"/>
      <c r="D10" s="36"/>
      <c r="E10" s="36"/>
    </row>
    <row r="11" spans="1:7" ht="45" customHeight="1" x14ac:dyDescent="0.15">
      <c r="B11" s="37" t="s">
        <v>39</v>
      </c>
      <c r="C11" s="37"/>
      <c r="D11" s="37"/>
      <c r="E11" s="37"/>
    </row>
    <row r="12" spans="1:7" ht="45" customHeight="1" x14ac:dyDescent="0.15">
      <c r="B12" s="41" t="s">
        <v>13</v>
      </c>
      <c r="C12" s="41"/>
      <c r="D12" s="41"/>
      <c r="E12" s="41"/>
      <c r="F12" s="41"/>
      <c r="G12" s="41"/>
    </row>
    <row r="13" spans="1:7" ht="30" customHeight="1" x14ac:dyDescent="0.15">
      <c r="B13" s="8" t="s">
        <v>14</v>
      </c>
      <c r="C13" s="8" t="s">
        <v>15</v>
      </c>
      <c r="D13" s="9" t="s">
        <v>16</v>
      </c>
      <c r="E13" s="8" t="s">
        <v>17</v>
      </c>
      <c r="F13" s="8" t="s">
        <v>18</v>
      </c>
      <c r="G13" s="8" t="s">
        <v>19</v>
      </c>
    </row>
    <row r="14" spans="1:7" ht="30" customHeight="1" x14ac:dyDescent="0.15">
      <c r="B14" s="10">
        <v>1</v>
      </c>
      <c r="C14" t="s">
        <v>45</v>
      </c>
      <c r="D14" s="11"/>
      <c r="E14" s="12">
        <v>700</v>
      </c>
      <c r="F14" s="13">
        <f>Devis[[#This Row],[PRIX UNITAIRE]]</f>
        <v>700</v>
      </c>
      <c r="G14" s="12">
        <f>IFERROR(IF(B14,B14*E14,""), "")</f>
        <v>700</v>
      </c>
    </row>
    <row r="15" spans="1:7" ht="30" customHeight="1" x14ac:dyDescent="0.15">
      <c r="B15" s="10">
        <v>1</v>
      </c>
      <c r="C15" t="s">
        <v>46</v>
      </c>
      <c r="D15" s="11"/>
      <c r="E15" s="12">
        <v>100</v>
      </c>
      <c r="F15" s="13">
        <f>Devis[[#This Row],[PRIX UNITAIRE]]</f>
        <v>100</v>
      </c>
      <c r="G15" s="12">
        <f>IFERROR(IF(B15,B15*E15,""), "")</f>
        <v>100</v>
      </c>
    </row>
    <row r="16" spans="1:7" ht="30" customHeight="1" x14ac:dyDescent="0.15">
      <c r="B16" s="10">
        <v>1</v>
      </c>
      <c r="C16" s="3" t="s">
        <v>47</v>
      </c>
      <c r="D16" s="11"/>
      <c r="E16" s="12">
        <v>75</v>
      </c>
      <c r="F16" s="13">
        <f>Devis[[#This Row],[PRIX UNITAIRE]]</f>
        <v>75</v>
      </c>
      <c r="G16" s="12">
        <f>IFERROR(IF(B16,B16*E16,""), "")</f>
        <v>75</v>
      </c>
    </row>
    <row r="17" spans="2:7" ht="30" customHeight="1" x14ac:dyDescent="0.15">
      <c r="B17" s="10"/>
      <c r="D17" s="11"/>
      <c r="E17" s="12"/>
      <c r="F17" s="13">
        <f>Devis[[#This Row],[PRIX UNITAIRE]]</f>
        <v>0</v>
      </c>
      <c r="G17" s="12" t="str">
        <f>IFERROR(IF(B17,B17*E17,""), "")</f>
        <v/>
      </c>
    </row>
    <row r="18" spans="2:7" ht="18" customHeight="1" x14ac:dyDescent="0.15">
      <c r="B18" s="42" t="s">
        <v>20</v>
      </c>
      <c r="C18" s="42"/>
      <c r="D18" s="42"/>
      <c r="E18" s="42"/>
      <c r="F18" s="42"/>
      <c r="G18" s="42"/>
    </row>
    <row r="19" spans="2:7" ht="63.75" customHeight="1" x14ac:dyDescent="0.15">
      <c r="B19" s="14" t="s">
        <v>21</v>
      </c>
      <c r="C19" s="30" t="s">
        <v>40</v>
      </c>
      <c r="D19" s="15"/>
      <c r="E19" s="16">
        <v>24.9</v>
      </c>
      <c r="F19" s="17" t="s">
        <v>22</v>
      </c>
      <c r="G19" s="18">
        <v>24.9</v>
      </c>
    </row>
    <row r="20" spans="2:7" ht="15" hidden="1" customHeight="1" x14ac:dyDescent="0.15">
      <c r="B20" s="43" t="s">
        <v>23</v>
      </c>
      <c r="C20" s="43"/>
      <c r="D20" s="43"/>
      <c r="E20" s="43"/>
      <c r="F20" s="43"/>
      <c r="G20" s="43"/>
    </row>
    <row r="21" spans="2:7" ht="30" customHeight="1" x14ac:dyDescent="0.15">
      <c r="B21" s="20"/>
      <c r="C21" s="19" t="s">
        <v>24</v>
      </c>
      <c r="D21" s="20"/>
      <c r="E21" s="20" t="s">
        <v>25</v>
      </c>
      <c r="F21" s="21" t="s">
        <v>26</v>
      </c>
      <c r="G21" s="20" t="s">
        <v>27</v>
      </c>
    </row>
    <row r="22" spans="2:7" ht="30" customHeight="1" x14ac:dyDescent="0.15">
      <c r="C22" s="22" t="s">
        <v>28</v>
      </c>
      <c r="E22" s="23">
        <v>9.9</v>
      </c>
      <c r="F22" s="24" t="s">
        <v>31</v>
      </c>
      <c r="G22" s="23">
        <f t="shared" ref="G22:G27" si="0">IF(F22="OUI",E22,0)</f>
        <v>0</v>
      </c>
    </row>
    <row r="23" spans="2:7" ht="30" customHeight="1" x14ac:dyDescent="0.15">
      <c r="C23" s="22" t="s">
        <v>30</v>
      </c>
      <c r="E23" s="23">
        <v>19.899999999999999</v>
      </c>
      <c r="F23" s="24" t="s">
        <v>31</v>
      </c>
      <c r="G23" s="23">
        <f t="shared" si="0"/>
        <v>0</v>
      </c>
    </row>
    <row r="24" spans="2:7" ht="30" customHeight="1" x14ac:dyDescent="0.15">
      <c r="C24" s="22" t="s">
        <v>48</v>
      </c>
      <c r="E24" s="23">
        <v>9.9</v>
      </c>
      <c r="F24" s="24" t="s">
        <v>31</v>
      </c>
      <c r="G24" s="23">
        <f t="shared" si="0"/>
        <v>0</v>
      </c>
    </row>
    <row r="25" spans="2:7" ht="30" customHeight="1" x14ac:dyDescent="0.15">
      <c r="C25" s="22" t="s">
        <v>41</v>
      </c>
      <c r="E25" s="23">
        <v>14.9</v>
      </c>
      <c r="F25" s="24" t="s">
        <v>31</v>
      </c>
      <c r="G25" s="23">
        <f t="shared" si="0"/>
        <v>0</v>
      </c>
    </row>
    <row r="26" spans="2:7" ht="30" customHeight="1" x14ac:dyDescent="0.15">
      <c r="C26" s="22" t="s">
        <v>42</v>
      </c>
      <c r="E26" s="23">
        <v>24.9</v>
      </c>
      <c r="F26" s="24" t="s">
        <v>31</v>
      </c>
      <c r="G26" s="23">
        <f t="shared" si="0"/>
        <v>0</v>
      </c>
    </row>
    <row r="27" spans="2:7" ht="30" customHeight="1" x14ac:dyDescent="0.15">
      <c r="C27" s="22" t="s">
        <v>43</v>
      </c>
      <c r="E27" s="23">
        <v>14.9</v>
      </c>
      <c r="F27" s="24" t="s">
        <v>29</v>
      </c>
      <c r="G27" s="23">
        <f t="shared" si="0"/>
        <v>14.9</v>
      </c>
    </row>
    <row r="28" spans="2:7" ht="30" customHeight="1" x14ac:dyDescent="0.15">
      <c r="F28" s="25" t="s">
        <v>32</v>
      </c>
      <c r="G28" s="26">
        <f>SUM(G14:G17)</f>
        <v>875</v>
      </c>
    </row>
    <row r="29" spans="2:7" ht="30" customHeight="1" x14ac:dyDescent="0.15">
      <c r="F29" s="27" t="s">
        <v>33</v>
      </c>
      <c r="G29" s="28">
        <f>G19+SUM(G22:G27)</f>
        <v>39.799999999999997</v>
      </c>
    </row>
    <row r="30" spans="2:7" ht="27.75" customHeight="1" x14ac:dyDescent="0.15">
      <c r="B30" s="40" t="s">
        <v>34</v>
      </c>
      <c r="C30" s="40"/>
      <c r="D30" s="40"/>
      <c r="E30" s="40"/>
      <c r="F30" s="40"/>
      <c r="G30" s="40"/>
    </row>
    <row r="31" spans="2:7" ht="30" customHeight="1" x14ac:dyDescent="0.15">
      <c r="B31" s="40"/>
      <c r="C31" s="40"/>
      <c r="D31" s="40"/>
      <c r="E31" s="40"/>
      <c r="F31" s="40"/>
      <c r="G31" s="40"/>
    </row>
    <row r="33" spans="1:8" x14ac:dyDescent="0.15">
      <c r="B33" s="29" t="s">
        <v>35</v>
      </c>
    </row>
    <row r="35" spans="1:8" ht="30" customHeight="1" x14ac:dyDescent="0.15">
      <c r="A35"/>
      <c r="B35" s="31" t="s">
        <v>49</v>
      </c>
      <c r="C35" s="31"/>
      <c r="D35" s="31"/>
      <c r="E35" s="31"/>
      <c r="F35" s="31"/>
      <c r="G35" s="31"/>
      <c r="H35"/>
    </row>
    <row r="36" spans="1:8" ht="30" customHeight="1" x14ac:dyDescent="0.15">
      <c r="A36"/>
      <c r="B36" s="29" t="s">
        <v>50</v>
      </c>
      <c r="C36"/>
      <c r="D36"/>
      <c r="E36"/>
      <c r="F36"/>
      <c r="G36"/>
      <c r="H36"/>
    </row>
    <row r="37" spans="1:8" ht="30" customHeight="1" x14ac:dyDescent="0.15">
      <c r="A37"/>
      <c r="B37" s="32" t="s">
        <v>51</v>
      </c>
      <c r="C37" s="32"/>
      <c r="D37" s="32"/>
      <c r="E37" s="32"/>
      <c r="F37" s="32"/>
      <c r="G37" s="32"/>
      <c r="H37"/>
    </row>
    <row r="38" spans="1:8" ht="30" customHeight="1" x14ac:dyDescent="0.15">
      <c r="A38"/>
      <c r="B38" s="32"/>
      <c r="C38" s="32"/>
      <c r="D38" s="32"/>
      <c r="E38" s="32"/>
      <c r="F38" s="32"/>
      <c r="G38" s="32"/>
      <c r="H38"/>
    </row>
    <row r="39" spans="1:8" ht="30" customHeight="1" x14ac:dyDescent="0.15">
      <c r="A39"/>
      <c r="B39" s="32"/>
      <c r="C39" s="32"/>
      <c r="D39" s="32"/>
      <c r="E39" s="32"/>
      <c r="F39" s="32"/>
      <c r="G39" s="32"/>
      <c r="H39"/>
    </row>
    <row r="40" spans="1:8" ht="30" customHeight="1" x14ac:dyDescent="0.15">
      <c r="A40"/>
      <c r="B40" s="32"/>
      <c r="C40" s="32"/>
      <c r="D40" s="32"/>
      <c r="E40" s="32"/>
      <c r="F40" s="32"/>
      <c r="G40" s="32"/>
      <c r="H40"/>
    </row>
    <row r="41" spans="1:8" ht="30" customHeight="1" x14ac:dyDescent="0.15">
      <c r="A41"/>
      <c r="B41" s="32"/>
      <c r="C41" s="32"/>
      <c r="D41" s="32"/>
      <c r="E41" s="32"/>
      <c r="F41" s="32"/>
      <c r="G41" s="32"/>
      <c r="H41"/>
    </row>
    <row r="42" spans="1:8" ht="30" customHeight="1" x14ac:dyDescent="0.15">
      <c r="A42"/>
      <c r="B42" s="32"/>
      <c r="C42" s="32"/>
      <c r="D42" s="32"/>
      <c r="E42" s="32"/>
      <c r="F42" s="32"/>
      <c r="G42" s="32"/>
      <c r="H42"/>
    </row>
  </sheetData>
  <mergeCells count="18">
    <mergeCell ref="B18:G18"/>
    <mergeCell ref="B20:G20"/>
    <mergeCell ref="B35:G35"/>
    <mergeCell ref="B37:G42"/>
    <mergeCell ref="B1:E1"/>
    <mergeCell ref="F1:G1"/>
    <mergeCell ref="B2:E2"/>
    <mergeCell ref="B3:E3"/>
    <mergeCell ref="B4:E4"/>
    <mergeCell ref="B5:E5"/>
    <mergeCell ref="B6:E6"/>
    <mergeCell ref="B7:E7"/>
    <mergeCell ref="B8:E8"/>
    <mergeCell ref="B9:E9"/>
    <mergeCell ref="B30:G31"/>
    <mergeCell ref="B10:E10"/>
    <mergeCell ref="B11:E11"/>
    <mergeCell ref="B12:G12"/>
  </mergeCells>
  <dataValidations count="34">
    <dataValidation allowBlank="1" showInputMessage="1" showErrorMessage="1" prompt="Entrez le nom de la société dans cette cellule et le slogan dans la cellule ci-dessous. Le titre du devis figure dans la cellule de droite" sqref="B1:E1" xr:uid="{00000000-0002-0000-0000-000000000000}">
      <formula1>0</formula1>
      <formula2>0</formula2>
    </dataValidation>
    <dataValidation allowBlank="1" showInputMessage="1" showErrorMessage="1" prompt="Entrez le slogan de la société dans cette cellule et l’adresse de la société dans les cellules ci-dessous, de la cellule B4 à la cellule B6" sqref="B2:E2" xr:uid="{00000000-0002-0000-0000-000001000000}">
      <formula1>0</formula1>
      <formula2>0</formula2>
    </dataValidation>
    <dataValidation allowBlank="1" showInputMessage="1" showErrorMessage="1" prompt="Entrez l’adresse postale de la société dans cette cellule" sqref="B3:E3" xr:uid="{00000000-0002-0000-0000-000002000000}">
      <formula1>0</formula1>
      <formula2>0</formula2>
    </dataValidation>
    <dataValidation allowBlank="1" showInputMessage="1" showErrorMessage="1" prompt="Entrez le code postal et la ville de la société dans cette cellule" sqref="B4:E4" xr:uid="{00000000-0002-0000-0000-000003000000}">
      <formula1>0</formula1>
      <formula2>0</formula2>
    </dataValidation>
    <dataValidation allowBlank="1" showInputMessage="1" showErrorMessage="1" prompt="Entrez le numéro de téléphone et le numéro de télécopie de la société dans cette cellule" sqref="B5:D5" xr:uid="{00000000-0002-0000-0000-000004000000}">
      <formula1>0</formula1>
      <formula2>0</formula2>
    </dataValidation>
    <dataValidation allowBlank="1" showInputMessage="1" showErrorMessage="1" prompt="Entrez le nom du client, le nom de la société, l’adresse postale et le numéro de téléphone dans les cellules ci-dessous, de la cellule B8 à la cellule B12. La date d’expiration du devis dans la cellule G7 et le nom de l’auteur du devis dans la cellule G8" sqref="B6:C6" xr:uid="{00000000-0002-0000-0000-000005000000}">
      <formula1>0</formula1>
      <formula2>0</formula2>
    </dataValidation>
    <dataValidation allowBlank="1" showInputMessage="1" showErrorMessage="1" prompt="Entrez le nom du client dans cette cellule" sqref="B7:E7" xr:uid="{00000000-0002-0000-0000-000006000000}">
      <formula1>0</formula1>
      <formula2>0</formula2>
    </dataValidation>
    <dataValidation allowBlank="1" showInputMessage="1" showErrorMessage="1" prompt="Entrez le nom de société du client dans cette cellule." sqref="B8:E8" xr:uid="{00000000-0002-0000-0000-000007000000}">
      <formula1>0</formula1>
      <formula2>0</formula2>
    </dataValidation>
    <dataValidation allowBlank="1" showInputMessage="1" showErrorMessage="1" prompt="Entrez l’adresse postale du client dans cette cellule." sqref="B9:E9" xr:uid="{00000000-0002-0000-0000-000008000000}">
      <formula1>0</formula1>
      <formula2>0</formula2>
    </dataValidation>
    <dataValidation allowBlank="1" showInputMessage="1" showErrorMessage="1" prompt="Entrez la localité, le code postal et le pays ou la région du client dans cette cellule." sqref="B10:E10" xr:uid="{00000000-0002-0000-0000-000009000000}">
      <formula1>0</formula1>
      <formula2>0</formula2>
    </dataValidation>
    <dataValidation allowBlank="1" showInputMessage="1" showErrorMessage="1" prompt="Entrez le numéro de téléphone du client dans cette cellule." sqref="B11:E11" xr:uid="{00000000-0002-0000-0000-00000A000000}">
      <formula1>0</formula1>
      <formula2>0</formula2>
    </dataValidation>
    <dataValidation allowBlank="1" showInputMessage="1" showErrorMessage="1" prompt="Entrez des commentaires ou des instructions spéciales dans la cellule de droite" sqref="B12" xr:uid="{00000000-0002-0000-0000-00000B000000}">
      <formula1>0</formula1>
      <formula2>0</formula2>
    </dataValidation>
    <dataValidation allowBlank="1" showInputMessage="1" showErrorMessage="1" prompt="Entrez la quantité dans cette colonne sous ce titre." sqref="B13" xr:uid="{00000000-0002-0000-0000-00000C000000}">
      <formula1>0</formula1>
      <formula2>0</formula2>
    </dataValidation>
    <dataValidation allowBlank="1" showInputMessage="1" showErrorMessage="1" prompt="Entrez la description dans cette colonne sous ce titre." sqref="C13" xr:uid="{00000000-0002-0000-0000-00000D000000}">
      <formula1>0</formula1>
      <formula2>0</formula2>
    </dataValidation>
    <dataValidation allowBlank="1" showInputMessage="1" showErrorMessage="1" prompt="Entrez le prix unitaire dans cette colonne sous ce titre." sqref="E13" xr:uid="{00000000-0002-0000-0000-00000E000000}">
      <formula1>0</formula1>
      <formula2>0</formula2>
    </dataValidation>
    <dataValidation allowBlank="1" showInputMessage="1" showErrorMessage="1" prompt="Le montant est calculé automatiquement dans cette colonne sous ce titre et le sous-total est automatiquement calculé à la fin du tableau" sqref="G13" xr:uid="{00000000-0002-0000-0000-00000F000000}">
      <formula1>0</formula1>
      <formula2>0</formula2>
    </dataValidation>
    <dataValidation allowBlank="1" showInputMessage="1" showErrorMessage="1" prompt="Entrez « T » sous ce titre pour les éléments soumis à la TVA de cette colonne" sqref="F13" xr:uid="{00000000-0002-0000-0000-000010000000}">
      <formula1>0</formula1>
      <formula2>0</formula2>
    </dataValidation>
    <dataValidation allowBlank="1" showInputMessage="1" showErrorMessage="1" prompt="Entrez un champ personnalisé dans ce titre et les données correspondantes dans cette colonne sous ce titre" sqref="D13" xr:uid="{00000000-0002-0000-0000-000011000000}">
      <formula1>0</formula1>
      <formula2>0</formula2>
    </dataValidation>
    <dataValidation allowBlank="1" showInputMessage="1" showErrorMessage="1" prompt="Ajoutez le nom, le numéro de téléphone et l’adresse e-mail du contact de la société dans cette cellule" sqref="B19:G20" xr:uid="{00000000-0002-0000-0000-000012000000}">
      <formula1>0</formula1>
      <formula2>0</formula2>
    </dataValidation>
    <dataValidation allowBlank="1" showInputMessage="1" showErrorMessage="1" prompt="Créez un devis de prix avec calcul de la TVA dans cette feuille de calcul. Entrez les détails de la société, du client, du devis, de l’expédition et des produits. Le total dû est calculé automatiquement" sqref="A1" xr:uid="{00000000-0002-0000-0000-000013000000}">
      <formula1>0</formula1>
      <formula2>0</formula2>
    </dataValidation>
    <dataValidation allowBlank="1" showInputMessage="1" showErrorMessage="1" prompt="Le total dû est calculé automatiquement dans la cellule à droite" sqref="F18" xr:uid="{00000000-0002-0000-0000-000014000000}">
      <formula1>0</formula1>
      <formula2>0</formula2>
    </dataValidation>
    <dataValidation allowBlank="1" showInputMessage="1" showErrorMessage="1" prompt="Le total dû est calculé automatiquement dans cette cellule" sqref="G18" xr:uid="{00000000-0002-0000-0000-000015000000}">
      <formula1>0</formula1>
      <formula2>0</formula2>
    </dataValidation>
    <dataValidation allowBlank="1" showInputMessage="1" showErrorMessage="1" prompt="Entrez le nom de l’auteur du devis dans cette cellule" sqref="G7:G8" xr:uid="{00000000-0002-0000-0000-000016000000}">
      <formula1>0</formula1>
      <formula2>0</formula2>
    </dataValidation>
    <dataValidation allowBlank="1" showInputMessage="1" showErrorMessage="1" prompt="Entrez la date d’expiration du devis dans cette cellule" sqref="G6" xr:uid="{00000000-0002-0000-0000-000017000000}">
      <formula1>0</formula1>
      <formula2>0</formula2>
    </dataValidation>
    <dataValidation allowBlank="1" showInputMessage="1" showErrorMessage="1" prompt="Entrer la date du devis dans cette cellule" sqref="G2" xr:uid="{00000000-0002-0000-0000-000018000000}">
      <formula1>0</formula1>
      <formula2>0</formula2>
    </dataValidation>
    <dataValidation allowBlank="1" showInputMessage="1" showErrorMessage="1" prompt="Entrez la référence client dans la cellule de droite" sqref="F4" xr:uid="{00000000-0002-0000-0000-000019000000}">
      <formula1>0</formula1>
      <formula2>0</formula2>
    </dataValidation>
    <dataValidation allowBlank="1" showInputMessage="1" showErrorMessage="1" prompt="Entrez la date du devis dans la cellule de droite" sqref="F2" xr:uid="{00000000-0002-0000-0000-00001A000000}">
      <formula1>0</formula1>
      <formula2>0</formula2>
    </dataValidation>
    <dataValidation allowBlank="1" showInputMessage="1" showErrorMessage="1" prompt="Entrez le numéro du devis dans la cellule de droite" sqref="F3" xr:uid="{00000000-0002-0000-0000-00001B000000}">
      <formula1>0</formula1>
      <formula2>0</formula2>
    </dataValidation>
    <dataValidation allowBlank="1" showInputMessage="1" showErrorMessage="1" prompt="Entrez le numéro du devis dans cette cellule" sqref="G3" xr:uid="{00000000-0002-0000-0000-00001C000000}">
      <formula1>0</formula1>
      <formula2>0</formula2>
    </dataValidation>
    <dataValidation allowBlank="1" showInputMessage="1" showErrorMessage="1" prompt="Entrez la référence client dans cette cellule" sqref="G4" xr:uid="{00000000-0002-0000-0000-00001D000000}">
      <formula1>0</formula1>
      <formula2>0</formula2>
    </dataValidation>
    <dataValidation allowBlank="1" showInputMessage="1" showErrorMessage="1" prompt="Le titre de cette feuille de calcul se trouve dans cette cellule. Entrez la date, le numéro de devis et la référence client dans les cellules G2 à G5." sqref="F1:G1" xr:uid="{00000000-0002-0000-0000-00001E000000}">
      <formula1>0</formula1>
      <formula2>0</formula2>
    </dataValidation>
    <dataValidation allowBlank="1" showInputMessage="1" showErrorMessage="1" prompt="Entrez le nom de l’auteur du devis dans la cellule de droite" sqref="F7" xr:uid="{00000000-0002-0000-0000-00001F000000}">
      <formula1>0</formula1>
      <formula2>0</formula2>
    </dataValidation>
    <dataValidation allowBlank="1" showInputMessage="1" showErrorMessage="1" prompt="Entrez la date d’expiration du devis dans la cellule de droite" sqref="F6" xr:uid="{00000000-0002-0000-0000-000020000000}">
      <formula1>0</formula1>
      <formula2>0</formula2>
    </dataValidation>
    <dataValidation type="list" errorTitle="Valeur invalide" error="Entrez OUI ou NON" promptTitle="Option" prompt="Choisissez OUI pour inclure cette option" sqref="F22:F27" xr:uid="{00000000-0002-0000-0000-000021000000}">
      <formula1>"OUI,NON"</formula1>
      <formula2>0</formula2>
    </dataValidation>
  </dataValidations>
  <printOptions horizontalCentered="1"/>
  <pageMargins left="0.5" right="0.5" top="0.5" bottom="0.5" header="0.511811023622047" footer="0.511811023622047"/>
  <pageSetup paperSize="9" scale="63" fitToHeight="0" orientation="portrait" horizontalDpi="300" verticalDpi="300" r:id="rId1"/>
  <headerFooter>
    <oddFooter>&amp;C_x000D_&amp;1#&amp;"Aptos"&amp;8&amp;K000000 INTERNAL</oddFooter>
  </headerFooter>
  <tableParts count="1">
    <tablePart r:id="rId2"/>
  </tableParts>
</worksheet>
</file>

<file path=docMetadata/LabelInfo.xml><?xml version="1.0" encoding="utf-8"?>
<clbl:labelList xmlns:clbl="http://schemas.microsoft.com/office/2020/mipLabelMetadata">
  <clbl:label id="{41569415-e423-4898-b1ac-2b6826647c84}" enabled="1" method="Standard" siteId="{39b77101-99b7-41c9-8d6a-7794b9d48476}" contentBits="2" removed="0"/>
</clbl:labelLis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Devis</vt:lpstr>
      <vt:lpstr>Devis!Print_Titles</vt:lpstr>
      <vt:lpstr>TitreColonne1</vt:lpstr>
      <vt:lpstr>ZoneTitreColonne1..B11.1</vt:lpstr>
      <vt:lpstr>ZoneTitreLigne1..G4</vt:lpstr>
      <vt:lpstr>ZoneTitreLigne2..G7</vt:lpstr>
      <vt:lpstr>ZoneTitreLigne3..D12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ORTEGA PABLO</cp:lastModifiedBy>
  <cp:revision>0</cp:revision>
  <cp:lastPrinted>2026-05-28T09:24:01Z</cp:lastPrinted>
  <dcterms:created xsi:type="dcterms:W3CDTF">2022-02-14T05:06:15Z</dcterms:created>
  <dcterms:modified xsi:type="dcterms:W3CDTF">2026-05-30T18:34:43Z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